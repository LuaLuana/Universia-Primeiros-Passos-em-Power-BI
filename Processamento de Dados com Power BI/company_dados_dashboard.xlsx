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Departamento_Local" sheetId="2" state="visible" r:id="rId4"/>
    <sheet name="Horas_Projeto" sheetId="3" state="visible" r:id="rId5"/>
    <sheet name="Colaboradores_por_Gerente" sheetId="4" state="visible" r:id="rId6"/>
    <sheet name="Resumo" sheetId="5" state="visible" r:id="rId7"/>
    <sheet name="Leia_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<sst xmlns="http://schemas.openxmlformats.org/spreadsheetml/2006/main" count="164" uniqueCount="82">
  <si>
    <t xml:space="preserve">Ssn</t>
  </si>
  <si>
    <t xml:space="preserve">Nome</t>
  </si>
  <si>
    <t xml:space="preserve">Sex</t>
  </si>
  <si>
    <t xml:space="preserve">Salary</t>
  </si>
  <si>
    <t xml:space="preserve">Cidade</t>
  </si>
  <si>
    <t xml:space="preserve">Estado</t>
  </si>
  <si>
    <t xml:space="preserve">Departamento</t>
  </si>
  <si>
    <t xml:space="preserve">Gerente</t>
  </si>
  <si>
    <t xml:space="preserve">123456789</t>
  </si>
  <si>
    <t xml:space="preserve">John Smith</t>
  </si>
  <si>
    <t xml:space="preserve">M</t>
  </si>
  <si>
    <t xml:space="preserve">Houston</t>
  </si>
  <si>
    <t xml:space="preserve">TX</t>
  </si>
  <si>
    <t xml:space="preserve">Research</t>
  </si>
  <si>
    <t xml:space="preserve">Franklin Wong</t>
  </si>
  <si>
    <t xml:space="preserve">333445555</t>
  </si>
  <si>
    <t xml:space="preserve">James Borg</t>
  </si>
  <si>
    <t xml:space="preserve">999887777</t>
  </si>
  <si>
    <t xml:space="preserve">Alicia Zelaya</t>
  </si>
  <si>
    <t xml:space="preserve">F</t>
  </si>
  <si>
    <t xml:space="preserve">Spring</t>
  </si>
  <si>
    <t xml:space="preserve">Administration</t>
  </si>
  <si>
    <t xml:space="preserve">Jennifer Wallace</t>
  </si>
  <si>
    <t xml:space="preserve">987654321</t>
  </si>
  <si>
    <t xml:space="preserve">Bellaire</t>
  </si>
  <si>
    <t xml:space="preserve">666884444</t>
  </si>
  <si>
    <t xml:space="preserve">Ramesh Narayan</t>
  </si>
  <si>
    <t xml:space="preserve">Humble</t>
  </si>
  <si>
    <t xml:space="preserve">453453453</t>
  </si>
  <si>
    <t xml:space="preserve">Joyce English</t>
  </si>
  <si>
    <t xml:space="preserve">987987987</t>
  </si>
  <si>
    <t xml:space="preserve">Ahmad Jabbar</t>
  </si>
  <si>
    <t xml:space="preserve">888665555</t>
  </si>
  <si>
    <t xml:space="preserve">Headquarters</t>
  </si>
  <si>
    <t xml:space="preserve">111222333</t>
  </si>
  <si>
    <t xml:space="preserve">Maria Souza</t>
  </si>
  <si>
    <t xml:space="preserve">Dallas</t>
  </si>
  <si>
    <t xml:space="preserve">Marketing</t>
  </si>
  <si>
    <t xml:space="preserve">Dnumber</t>
  </si>
  <si>
    <t xml:space="preserve">Departamento_Local</t>
  </si>
  <si>
    <t xml:space="preserve">Mgr_ssn</t>
  </si>
  <si>
    <t xml:space="preserve">Headquarters - Houston</t>
  </si>
  <si>
    <t xml:space="preserve">Administration - Stafford</t>
  </si>
  <si>
    <t xml:space="preserve">Research - Bellaire</t>
  </si>
  <si>
    <t xml:space="preserve">Research - Houston</t>
  </si>
  <si>
    <t xml:space="preserve">Research - Sugarland</t>
  </si>
  <si>
    <t xml:space="preserve">Marketing - Dallas</t>
  </si>
  <si>
    <t xml:space="preserve">Pnumber</t>
  </si>
  <si>
    <t xml:space="preserve">Pname</t>
  </si>
  <si>
    <t xml:space="preserve">Essn</t>
  </si>
  <si>
    <t xml:space="preserve">Hours</t>
  </si>
  <si>
    <t xml:space="preserve">Colaborador</t>
  </si>
  <si>
    <t xml:space="preserve">ProductX</t>
  </si>
  <si>
    <t xml:space="preserve">ProductY</t>
  </si>
  <si>
    <t xml:space="preserve">ProductZ</t>
  </si>
  <si>
    <t xml:space="preserve">Computerization</t>
  </si>
  <si>
    <t xml:space="preserve">Reorganization</t>
  </si>
  <si>
    <t xml:space="preserve">Newbenefits</t>
  </si>
  <si>
    <t xml:space="preserve">Campaign</t>
  </si>
  <si>
    <t xml:space="preserve">Qtd_Colaboradores</t>
  </si>
  <si>
    <t xml:space="preserve">Indicadores gerais</t>
  </si>
  <si>
    <t xml:space="preserve">Total de colaboradores</t>
  </si>
  <si>
    <t xml:space="preserve">Folha salarial</t>
  </si>
  <si>
    <t xml:space="preserve">Salário médio</t>
  </si>
  <si>
    <t xml:space="preserve">Total de horas em projetos</t>
  </si>
  <si>
    <t xml:space="preserve">Por departamento</t>
  </si>
  <si>
    <t xml:space="preserve">Folha_Salarial</t>
  </si>
  <si>
    <t xml:space="preserve">Salario_Medio</t>
  </si>
  <si>
    <t xml:space="preserve">Horas por projeto</t>
  </si>
  <si>
    <t xml:space="preserve">Projeto</t>
  </si>
  <si>
    <t xml:space="preserve">Total_Horas</t>
  </si>
  <si>
    <t xml:space="preserve">Registros</t>
  </si>
  <si>
    <t xml:space="preserve">Registros_Sem_Horas</t>
  </si>
  <si>
    <t xml:space="preserve">Sobre esta planilha</t>
  </si>
  <si>
    <t xml:space="preserve">Os dados são o resultado das transformações do desafio (banco 'company' do script 01_schema_e_dados.sql), já com as correções do script 02.</t>
  </si>
  <si>
    <t xml:space="preserve">Abas Employee, Departamento_Local e Horas_Projeto: dados (equivalem às consultas finais do Power Query). Resumo e Colaboradores_por_Gerente: calculadas com fórmulas.</t>
  </si>
  <si>
    <t xml:space="preserve">Premissas</t>
  </si>
  <si>
    <t xml:space="preserve">Maria Souza (111222333) foi definida como gerente de Marketing e com supervisor James Borg; a data de início na gerência (01/01/2024) é fictícia, como o desafio permite.</t>
  </si>
  <si>
    <t xml:space="preserve">Gerente vazio em James Borg é esperado: ele é o topo da hierarquia.</t>
  </si>
  <si>
    <t xml:space="preserve">Horas vazias (Borg em Reorganization e Maria em Campaign) significam 'não informado'. O SUM ignora vazios; Campaign aparece com 0 hora e 1 registro sem horas.</t>
  </si>
  <si>
    <t xml:space="preserve">Salary está em número decimal sem símbolo de moeda, pois a moeda não foi definida no desafio.</t>
  </si>
  <si>
    <t xml:space="preserve">A coluna Colaborador em Horas_Projeto é uma busca por fórmula na aba Employee, para facilitar gráficos.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</si>
</sst>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"/>
    <numFmt numFmtId="167" formatCode="0"/>
    <numFmt numFmtId="168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Colab_por_Gerente" displayName="tbl_Colab_por_Gerente" ref="A1:B4" headerRowCount="1" totalsRowCount="0" totalsRowShown="0">
  <autoFilter ref="A1:B4"/>
  <tableColumns count="2">
    <tableColumn id="1" name="Gerente"/>
    <tableColumn id="2" name="Qtd_Colaboradores"/>
  </tableColumns>
</table>
</file>

<file path=xl/tables/table2.xml><?xml version="1.0" encoding="utf-8"?>
<table xmlns="http://schemas.openxmlformats.org/spreadsheetml/2006/main" id="2" name="tbl_Departamento_Local" displayName="tbl_Departamento_Local" ref="A1:C7" headerRowCount="1" totalsRowCount="0" totalsRowShown="0">
  <autoFilter ref="A1:C7"/>
  <tableColumns count="3">
    <tableColumn id="1" name="Dnumber"/>
    <tableColumn id="2" name="Departamento_Local"/>
    <tableColumn id="3" name="Mgr_ssn"/>
  </tableColumns>
</table>
</file>

<file path=xl/tables/table3.xml><?xml version="1.0" encoding="utf-8"?>
<table xmlns="http://schemas.openxmlformats.org/spreadsheetml/2006/main" id="3" name="tbl_Employee" displayName="tbl_Employee" ref="A1:H10" headerRowCount="1" totalsRowCount="0" totalsRowShown="0">
  <autoFilter ref="A1:H10"/>
  <tableColumns count="8">
    <tableColumn id="1" name="Ssn"/>
    <tableColumn id="2" name="Nome"/>
    <tableColumn id="3" name="Sex"/>
    <tableColumn id="4" name="Salary"/>
    <tableColumn id="5" name="Cidade"/>
    <tableColumn id="6" name="Estado"/>
    <tableColumn id="7" name="Departamento"/>
    <tableColumn id="8" name="Gerente"/>
  </tableColumns>
</table>
</file>

<file path=xl/tables/table4.xml><?xml version="1.0" encoding="utf-8"?>
<table xmlns="http://schemas.openxmlformats.org/spreadsheetml/2006/main" id="4" name="tbl_Horas_Projeto" displayName="tbl_Horas_Projeto" ref="A1:E18" headerRowCount="1" totalsRowCount="0" totalsRowShown="0">
  <autoFilter ref="A1:E18"/>
  <tableColumns count="5">
    <tableColumn id="1" name="Pnumber"/>
    <tableColumn id="2" name="Pname"/>
    <tableColumn id="3" name="Essn"/>
    <tableColumn id="4" name="Hours"/>
    <tableColumn id="5" name="Colaborador"/>
  </tableColumns>
</table>
</file>

<file path=xl/tables/table5.xml><?xml version="1.0" encoding="utf-8"?>
<table xmlns="http://schemas.openxmlformats.org/spreadsheetml/2006/main" id="5" name="tbl_Resumo_Depto" displayName="tbl_Resumo_Depto" ref="A9:D13" headerRowCount="1" totalsRowCount="0" totalsRowShown="0">
  <autoFilter ref="A9:D13"/>
  <tableColumns count="4">
    <tableColumn id="1" name="Departamento"/>
    <tableColumn id="2" name="Qtd_Colaboradores"/>
    <tableColumn id="3" name="Folha_Salarial"/>
    <tableColumn id="4" name="Salario_Medio"/>
  </tableColumns>
</table>
</file>

<file path=xl/tables/table6.xml><?xml version="1.0" encoding="utf-8"?>
<table xmlns="http://schemas.openxmlformats.org/spreadsheetml/2006/main" id="6" name="tbl_Resumo_Projeto" displayName="tbl_Resumo_Projeto" ref="A17:D24" headerRowCount="1" totalsRowCount="0" totalsRowShown="0">
  <autoFilter ref="A17:D24"/>
  <tableColumns count="4">
    <tableColumn id="1" name="Projeto"/>
    <tableColumn id="2" name="Total_Horas"/>
    <tableColumn id="3" name="Registros"/>
    <tableColumn id="4" name="Registros_Sem_Hor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30000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s">
        <v>15</v>
      </c>
      <c r="B3" s="2" t="s">
        <v>14</v>
      </c>
      <c r="C3" s="2" t="s">
        <v>10</v>
      </c>
      <c r="D3" s="3" t="n">
        <v>40000</v>
      </c>
      <c r="E3" s="2" t="s">
        <v>11</v>
      </c>
      <c r="F3" s="2" t="s">
        <v>12</v>
      </c>
      <c r="G3" s="2" t="s">
        <v>13</v>
      </c>
      <c r="H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3" t="n">
        <v>25000</v>
      </c>
      <c r="E4" s="2" t="s">
        <v>20</v>
      </c>
      <c r="F4" s="2" t="s">
        <v>12</v>
      </c>
      <c r="G4" s="2" t="s">
        <v>21</v>
      </c>
      <c r="H4" s="2" t="s">
        <v>22</v>
      </c>
    </row>
    <row r="5" customFormat="false" ht="15" hidden="false" customHeight="false" outlineLevel="0" collapsed="false">
      <c r="A5" s="2" t="s">
        <v>23</v>
      </c>
      <c r="B5" s="2" t="s">
        <v>22</v>
      </c>
      <c r="C5" s="2" t="s">
        <v>19</v>
      </c>
      <c r="D5" s="3" t="n">
        <v>43000</v>
      </c>
      <c r="E5" s="2" t="s">
        <v>24</v>
      </c>
      <c r="F5" s="2" t="s">
        <v>12</v>
      </c>
      <c r="G5" s="2" t="s">
        <v>21</v>
      </c>
      <c r="H5" s="2" t="s">
        <v>16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10</v>
      </c>
      <c r="D6" s="3" t="n">
        <v>38000</v>
      </c>
      <c r="E6" s="2" t="s">
        <v>27</v>
      </c>
      <c r="F6" s="2" t="s">
        <v>12</v>
      </c>
      <c r="G6" s="2" t="s">
        <v>13</v>
      </c>
      <c r="H6" s="2" t="s">
        <v>14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19</v>
      </c>
      <c r="D7" s="3" t="n">
        <v>25000</v>
      </c>
      <c r="E7" s="2" t="s">
        <v>11</v>
      </c>
      <c r="F7" s="2" t="s">
        <v>12</v>
      </c>
      <c r="G7" s="2" t="s">
        <v>13</v>
      </c>
      <c r="H7" s="2" t="s">
        <v>14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10</v>
      </c>
      <c r="D8" s="3" t="n">
        <v>25000</v>
      </c>
      <c r="E8" s="2" t="s">
        <v>11</v>
      </c>
      <c r="F8" s="2" t="s">
        <v>12</v>
      </c>
      <c r="G8" s="2" t="s">
        <v>21</v>
      </c>
      <c r="H8" s="2" t="s">
        <v>22</v>
      </c>
    </row>
    <row r="9" customFormat="false" ht="15" hidden="false" customHeight="false" outlineLevel="0" collapsed="false">
      <c r="A9" s="2" t="s">
        <v>32</v>
      </c>
      <c r="B9" s="2" t="s">
        <v>16</v>
      </c>
      <c r="C9" s="2" t="s">
        <v>10</v>
      </c>
      <c r="D9" s="3" t="n">
        <v>55000</v>
      </c>
      <c r="E9" s="2" t="s">
        <v>11</v>
      </c>
      <c r="F9" s="2" t="s">
        <v>12</v>
      </c>
      <c r="G9" s="2" t="s">
        <v>33</v>
      </c>
      <c r="H9" s="2"/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19</v>
      </c>
      <c r="D10" s="3" t="n">
        <v>35000</v>
      </c>
      <c r="E10" s="2" t="s">
        <v>36</v>
      </c>
      <c r="F10" s="2" t="s">
        <v>12</v>
      </c>
      <c r="G10" s="2" t="s">
        <v>37</v>
      </c>
      <c r="H1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40</v>
      </c>
    </row>
    <row r="2" customFormat="false" ht="15" hidden="false" customHeight="false" outlineLevel="0" collapsed="false">
      <c r="A2" s="2" t="n">
        <v>1</v>
      </c>
      <c r="B2" s="2" t="s">
        <v>41</v>
      </c>
      <c r="C2" s="2" t="s">
        <v>32</v>
      </c>
    </row>
    <row r="3" customFormat="false" ht="15" hidden="false" customHeight="false" outlineLevel="0" collapsed="false">
      <c r="A3" s="2" t="n">
        <v>4</v>
      </c>
      <c r="B3" s="2" t="s">
        <v>42</v>
      </c>
      <c r="C3" s="2" t="s">
        <v>23</v>
      </c>
    </row>
    <row r="4" customFormat="false" ht="15" hidden="false" customHeight="false" outlineLevel="0" collapsed="false">
      <c r="A4" s="2" t="n">
        <v>5</v>
      </c>
      <c r="B4" s="2" t="s">
        <v>43</v>
      </c>
      <c r="C4" s="2" t="s">
        <v>15</v>
      </c>
    </row>
    <row r="5" customFormat="false" ht="15" hidden="false" customHeight="false" outlineLevel="0" collapsed="false">
      <c r="A5" s="2" t="n">
        <v>5</v>
      </c>
      <c r="B5" s="2" t="s">
        <v>44</v>
      </c>
      <c r="C5" s="2" t="s">
        <v>15</v>
      </c>
    </row>
    <row r="6" customFormat="false" ht="15" hidden="false" customHeight="false" outlineLevel="0" collapsed="false">
      <c r="A6" s="2" t="n">
        <v>5</v>
      </c>
      <c r="B6" s="2" t="s">
        <v>45</v>
      </c>
      <c r="C6" s="2" t="s">
        <v>15</v>
      </c>
    </row>
    <row r="7" customFormat="false" ht="15" hidden="false" customHeight="false" outlineLevel="0" collapsed="false">
      <c r="A7" s="2" t="n">
        <v>6</v>
      </c>
      <c r="B7" s="2" t="s">
        <v>46</v>
      </c>
      <c r="C7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customFormat="false" ht="15" hidden="false" customHeight="false" outlineLevel="0" collapsed="false">
      <c r="A2" s="2" t="n">
        <v>1</v>
      </c>
      <c r="B2" s="2" t="s">
        <v>52</v>
      </c>
      <c r="C2" s="2" t="s">
        <v>8</v>
      </c>
      <c r="D2" s="4" t="n">
        <v>32.5</v>
      </c>
      <c r="E2" s="2" t="str">
        <f aca="false">IFERROR(INDEX(Employee!$B$2:$B$10,MATCH(C2,Employee!$A$2:$A$10,0)),"")</f>
        <v>John Smith</v>
      </c>
    </row>
    <row r="3" customFormat="false" ht="15" hidden="false" customHeight="false" outlineLevel="0" collapsed="false">
      <c r="A3" s="2" t="n">
        <v>1</v>
      </c>
      <c r="B3" s="2" t="s">
        <v>52</v>
      </c>
      <c r="C3" s="2" t="s">
        <v>28</v>
      </c>
      <c r="D3" s="4" t="n">
        <v>20</v>
      </c>
      <c r="E3" s="2" t="str">
        <f aca="false">IFERROR(INDEX(Employee!$B$2:$B$10,MATCH(C3,Employee!$A$2:$A$10,0)),"")</f>
        <v>Joyce English</v>
      </c>
    </row>
    <row r="4" customFormat="false" ht="15" hidden="false" customHeight="false" outlineLevel="0" collapsed="false">
      <c r="A4" s="2" t="n">
        <v>2</v>
      </c>
      <c r="B4" s="2" t="s">
        <v>53</v>
      </c>
      <c r="C4" s="2" t="s">
        <v>8</v>
      </c>
      <c r="D4" s="4" t="n">
        <v>7.5</v>
      </c>
      <c r="E4" s="2" t="str">
        <f aca="false">IFERROR(INDEX(Employee!$B$2:$B$10,MATCH(C4,Employee!$A$2:$A$10,0)),"")</f>
        <v>John Smith</v>
      </c>
    </row>
    <row r="5" customFormat="false" ht="15" hidden="false" customHeight="false" outlineLevel="0" collapsed="false">
      <c r="A5" s="2" t="n">
        <v>2</v>
      </c>
      <c r="B5" s="2" t="s">
        <v>53</v>
      </c>
      <c r="C5" s="2" t="s">
        <v>28</v>
      </c>
      <c r="D5" s="4" t="n">
        <v>20</v>
      </c>
      <c r="E5" s="2" t="str">
        <f aca="false">IFERROR(INDEX(Employee!$B$2:$B$10,MATCH(C5,Employee!$A$2:$A$10,0)),"")</f>
        <v>Joyce English</v>
      </c>
    </row>
    <row r="6" customFormat="false" ht="15" hidden="false" customHeight="false" outlineLevel="0" collapsed="false">
      <c r="A6" s="2" t="n">
        <v>2</v>
      </c>
      <c r="B6" s="2" t="s">
        <v>53</v>
      </c>
      <c r="C6" s="2" t="s">
        <v>15</v>
      </c>
      <c r="D6" s="4" t="n">
        <v>10</v>
      </c>
      <c r="E6" s="2" t="str">
        <f aca="false">IFERROR(INDEX(Employee!$B$2:$B$10,MATCH(C6,Employee!$A$2:$A$10,0)),"")</f>
        <v>Franklin Wong</v>
      </c>
    </row>
    <row r="7" customFormat="false" ht="15" hidden="false" customHeight="false" outlineLevel="0" collapsed="false">
      <c r="A7" s="2" t="n">
        <v>3</v>
      </c>
      <c r="B7" s="2" t="s">
        <v>54</v>
      </c>
      <c r="C7" s="2" t="s">
        <v>25</v>
      </c>
      <c r="D7" s="4" t="n">
        <v>40</v>
      </c>
      <c r="E7" s="2" t="str">
        <f aca="false">IFERROR(INDEX(Employee!$B$2:$B$10,MATCH(C7,Employee!$A$2:$A$10,0)),"")</f>
        <v>Ramesh Narayan</v>
      </c>
    </row>
    <row r="8" customFormat="false" ht="15" hidden="false" customHeight="false" outlineLevel="0" collapsed="false">
      <c r="A8" s="2" t="n">
        <v>3</v>
      </c>
      <c r="B8" s="2" t="s">
        <v>54</v>
      </c>
      <c r="C8" s="2" t="s">
        <v>15</v>
      </c>
      <c r="D8" s="4" t="n">
        <v>10</v>
      </c>
      <c r="E8" s="2" t="str">
        <f aca="false">IFERROR(INDEX(Employee!$B$2:$B$10,MATCH(C8,Employee!$A$2:$A$10,0)),"")</f>
        <v>Franklin Wong</v>
      </c>
    </row>
    <row r="9" customFormat="false" ht="15" hidden="false" customHeight="false" outlineLevel="0" collapsed="false">
      <c r="A9" s="2" t="n">
        <v>10</v>
      </c>
      <c r="B9" s="2" t="s">
        <v>55</v>
      </c>
      <c r="C9" s="2" t="s">
        <v>15</v>
      </c>
      <c r="D9" s="4" t="n">
        <v>10</v>
      </c>
      <c r="E9" s="2" t="str">
        <f aca="false">IFERROR(INDEX(Employee!$B$2:$B$10,MATCH(C9,Employee!$A$2:$A$10,0)),"")</f>
        <v>Franklin Wong</v>
      </c>
    </row>
    <row r="10" customFormat="false" ht="15" hidden="false" customHeight="false" outlineLevel="0" collapsed="false">
      <c r="A10" s="2" t="n">
        <v>10</v>
      </c>
      <c r="B10" s="2" t="s">
        <v>55</v>
      </c>
      <c r="C10" s="2" t="s">
        <v>17</v>
      </c>
      <c r="D10" s="4" t="n">
        <v>10</v>
      </c>
      <c r="E10" s="2" t="str">
        <f aca="false">IFERROR(INDEX(Employee!$B$2:$B$10,MATCH(C10,Employee!$A$2:$A$10,0)),"")</f>
        <v>Alicia Zelaya</v>
      </c>
    </row>
    <row r="11" customFormat="false" ht="15" hidden="false" customHeight="false" outlineLevel="0" collapsed="false">
      <c r="A11" s="2" t="n">
        <v>10</v>
      </c>
      <c r="B11" s="2" t="s">
        <v>55</v>
      </c>
      <c r="C11" s="2" t="s">
        <v>30</v>
      </c>
      <c r="D11" s="4" t="n">
        <v>35</v>
      </c>
      <c r="E11" s="2" t="str">
        <f aca="false">IFERROR(INDEX(Employee!$B$2:$B$10,MATCH(C11,Employee!$A$2:$A$10,0)),"")</f>
        <v>Ahmad Jabbar</v>
      </c>
    </row>
    <row r="12" customFormat="false" ht="15" hidden="false" customHeight="false" outlineLevel="0" collapsed="false">
      <c r="A12" s="2" t="n">
        <v>20</v>
      </c>
      <c r="B12" s="2" t="s">
        <v>56</v>
      </c>
      <c r="C12" s="2" t="s">
        <v>15</v>
      </c>
      <c r="D12" s="4" t="n">
        <v>10</v>
      </c>
      <c r="E12" s="2" t="str">
        <f aca="false">IFERROR(INDEX(Employee!$B$2:$B$10,MATCH(C12,Employee!$A$2:$A$10,0)),"")</f>
        <v>Franklin Wong</v>
      </c>
    </row>
    <row r="13" customFormat="false" ht="15" hidden="false" customHeight="false" outlineLevel="0" collapsed="false">
      <c r="A13" s="2" t="n">
        <v>20</v>
      </c>
      <c r="B13" s="2" t="s">
        <v>56</v>
      </c>
      <c r="C13" s="2" t="s">
        <v>23</v>
      </c>
      <c r="D13" s="4" t="n">
        <v>15</v>
      </c>
      <c r="E13" s="2" t="str">
        <f aca="false">IFERROR(INDEX(Employee!$B$2:$B$10,MATCH(C13,Employee!$A$2:$A$10,0)),"")</f>
        <v>Jennifer Wallace</v>
      </c>
    </row>
    <row r="14" customFormat="false" ht="15" hidden="false" customHeight="false" outlineLevel="0" collapsed="false">
      <c r="A14" s="2" t="n">
        <v>20</v>
      </c>
      <c r="B14" s="2" t="s">
        <v>56</v>
      </c>
      <c r="C14" s="2" t="s">
        <v>32</v>
      </c>
      <c r="D14" s="4"/>
      <c r="E14" s="2" t="str">
        <f aca="false">IFERROR(INDEX(Employee!$B$2:$B$10,MATCH(C14,Employee!$A$2:$A$10,0)),"")</f>
        <v>James Borg</v>
      </c>
    </row>
    <row r="15" customFormat="false" ht="15" hidden="false" customHeight="false" outlineLevel="0" collapsed="false">
      <c r="A15" s="2" t="n">
        <v>30</v>
      </c>
      <c r="B15" s="2" t="s">
        <v>57</v>
      </c>
      <c r="C15" s="2" t="s">
        <v>17</v>
      </c>
      <c r="D15" s="4" t="n">
        <v>30</v>
      </c>
      <c r="E15" s="2" t="str">
        <f aca="false">IFERROR(INDEX(Employee!$B$2:$B$10,MATCH(C15,Employee!$A$2:$A$10,0)),"")</f>
        <v>Alicia Zelaya</v>
      </c>
    </row>
    <row r="16" customFormat="false" ht="15" hidden="false" customHeight="false" outlineLevel="0" collapsed="false">
      <c r="A16" s="2" t="n">
        <v>30</v>
      </c>
      <c r="B16" s="2" t="s">
        <v>57</v>
      </c>
      <c r="C16" s="2" t="s">
        <v>30</v>
      </c>
      <c r="D16" s="4" t="n">
        <v>5</v>
      </c>
      <c r="E16" s="2" t="str">
        <f aca="false">IFERROR(INDEX(Employee!$B$2:$B$10,MATCH(C16,Employee!$A$2:$A$10,0)),"")</f>
        <v>Ahmad Jabbar</v>
      </c>
    </row>
    <row r="17" customFormat="false" ht="15" hidden="false" customHeight="false" outlineLevel="0" collapsed="false">
      <c r="A17" s="2" t="n">
        <v>30</v>
      </c>
      <c r="B17" s="2" t="s">
        <v>57</v>
      </c>
      <c r="C17" s="2" t="s">
        <v>23</v>
      </c>
      <c r="D17" s="4" t="n">
        <v>20</v>
      </c>
      <c r="E17" s="2" t="str">
        <f aca="false">IFERROR(INDEX(Employee!$B$2:$B$10,MATCH(C17,Employee!$A$2:$A$10,0)),"")</f>
        <v>Jennifer Wallace</v>
      </c>
    </row>
    <row r="18" customFormat="false" ht="15" hidden="false" customHeight="false" outlineLevel="0" collapsed="false">
      <c r="A18" s="2" t="n">
        <v>40</v>
      </c>
      <c r="B18" s="2" t="s">
        <v>58</v>
      </c>
      <c r="C18" s="2" t="s">
        <v>34</v>
      </c>
      <c r="D18" s="4"/>
      <c r="E18" s="2" t="str">
        <f aca="false">IFERROR(INDEX(Employee!$B$2:$B$10,MATCH(C18,Employee!$A$2:$A$10,0)),"")</f>
        <v>Maria Souza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5"/>
  </cols>
  <sheetData>
    <row r="1" customFormat="false" ht="15" hidden="false" customHeight="false" outlineLevel="0" collapsed="false">
      <c r="A1" s="1" t="s">
        <v>7</v>
      </c>
      <c r="B1" s="1" t="s">
        <v>59</v>
      </c>
    </row>
    <row r="2" customFormat="false" ht="15" hidden="false" customHeight="false" outlineLevel="0" collapsed="false">
      <c r="A2" s="2" t="s">
        <v>16</v>
      </c>
      <c r="B2" s="2" t="n">
        <f aca="false">COUNTIF(Employee!$H$2:$H$10,A2)</f>
        <v>3</v>
      </c>
    </row>
    <row r="3" customFormat="false" ht="15" hidden="false" customHeight="false" outlineLevel="0" collapsed="false">
      <c r="A3" s="2" t="s">
        <v>14</v>
      </c>
      <c r="B3" s="2" t="n">
        <f aca="false">COUNTIF(Employee!$H$2:$H$10,A3)</f>
        <v>3</v>
      </c>
    </row>
    <row r="4" customFormat="false" ht="15" hidden="false" customHeight="false" outlineLevel="0" collapsed="false">
      <c r="A4" s="2" t="s">
        <v>22</v>
      </c>
      <c r="B4" s="2" t="n">
        <f aca="false">COUNTIF(Employee!$H$2:$H$10,A4)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40"/>
  </cols>
  <sheetData>
    <row r="1" customFormat="false" ht="15" hidden="false" customHeight="false" outlineLevel="0" collapsed="false">
      <c r="A1" s="5" t="s">
        <v>60</v>
      </c>
    </row>
    <row r="2" customFormat="false" ht="15" hidden="false" customHeight="false" outlineLevel="0" collapsed="false">
      <c r="A2" s="1" t="s">
        <v>61</v>
      </c>
      <c r="B2" s="6" t="n">
        <f aca="false">COUNTA(Employee!$A$2:$A$10)</f>
        <v>9</v>
      </c>
    </row>
    <row r="3" customFormat="false" ht="15" hidden="false" customHeight="false" outlineLevel="0" collapsed="false">
      <c r="A3" s="1" t="s">
        <v>62</v>
      </c>
      <c r="B3" s="3" t="n">
        <f aca="false">SUM(Employee!$D$2:$D$10)</f>
        <v>316000</v>
      </c>
    </row>
    <row r="4" customFormat="false" ht="15" hidden="false" customHeight="false" outlineLevel="0" collapsed="false">
      <c r="A4" s="1" t="s">
        <v>63</v>
      </c>
      <c r="B4" s="3" t="n">
        <f aca="false">AVERAGE(Employee!$D$2:$D$10)</f>
        <v>35111.1111111111</v>
      </c>
    </row>
    <row r="5" customFormat="false" ht="15" hidden="false" customHeight="false" outlineLevel="0" collapsed="false">
      <c r="A5" s="1" t="s">
        <v>64</v>
      </c>
      <c r="B5" s="7" t="n">
        <f aca="false">SUM(Horas_Projeto!$D$2:$D$18)</f>
        <v>275</v>
      </c>
    </row>
    <row r="8" customFormat="false" ht="15" hidden="false" customHeight="false" outlineLevel="0" collapsed="false">
      <c r="A8" s="5" t="s">
        <v>65</v>
      </c>
    </row>
    <row r="9" customFormat="false" ht="15" hidden="false" customHeight="false" outlineLevel="0" collapsed="false">
      <c r="A9" s="1" t="s">
        <v>6</v>
      </c>
      <c r="B9" s="1" t="s">
        <v>59</v>
      </c>
      <c r="C9" s="1" t="s">
        <v>66</v>
      </c>
      <c r="D9" s="1" t="s">
        <v>67</v>
      </c>
    </row>
    <row r="10" customFormat="false" ht="15" hidden="false" customHeight="false" outlineLevel="0" collapsed="false">
      <c r="A10" s="2" t="s">
        <v>13</v>
      </c>
      <c r="B10" s="2" t="n">
        <f aca="false">COUNTIF(Employee!$G$2:$G$10,A10)</f>
        <v>4</v>
      </c>
      <c r="C10" s="3" t="n">
        <f aca="false">SUMIF(Employee!$G$2:$G$10,A10,Employee!$D$2:$D$10)</f>
        <v>133000</v>
      </c>
      <c r="D10" s="3" t="n">
        <f aca="false">IFERROR(AVERAGEIF(Employee!$G$2:$G$10,A10,Employee!$D$2:$D$10),0)</f>
        <v>33250</v>
      </c>
    </row>
    <row r="11" customFormat="false" ht="15" hidden="false" customHeight="false" outlineLevel="0" collapsed="false">
      <c r="A11" s="2" t="s">
        <v>21</v>
      </c>
      <c r="B11" s="2" t="n">
        <f aca="false">COUNTIF(Employee!$G$2:$G$10,A11)</f>
        <v>3</v>
      </c>
      <c r="C11" s="3" t="n">
        <f aca="false">SUMIF(Employee!$G$2:$G$10,A11,Employee!$D$2:$D$10)</f>
        <v>93000</v>
      </c>
      <c r="D11" s="3" t="n">
        <f aca="false">IFERROR(AVERAGEIF(Employee!$G$2:$G$10,A11,Employee!$D$2:$D$10),0)</f>
        <v>31000</v>
      </c>
    </row>
    <row r="12" customFormat="false" ht="15" hidden="false" customHeight="false" outlineLevel="0" collapsed="false">
      <c r="A12" s="2" t="s">
        <v>33</v>
      </c>
      <c r="B12" s="2" t="n">
        <f aca="false">COUNTIF(Employee!$G$2:$G$10,A12)</f>
        <v>1</v>
      </c>
      <c r="C12" s="3" t="n">
        <f aca="false">SUMIF(Employee!$G$2:$G$10,A12,Employee!$D$2:$D$10)</f>
        <v>55000</v>
      </c>
      <c r="D12" s="3" t="n">
        <f aca="false">IFERROR(AVERAGEIF(Employee!$G$2:$G$10,A12,Employee!$D$2:$D$10),0)</f>
        <v>55000</v>
      </c>
    </row>
    <row r="13" customFormat="false" ht="15" hidden="false" customHeight="false" outlineLevel="0" collapsed="false">
      <c r="A13" s="2" t="s">
        <v>37</v>
      </c>
      <c r="B13" s="2" t="n">
        <f aca="false">COUNTIF(Employee!$G$2:$G$10,A13)</f>
        <v>1</v>
      </c>
      <c r="C13" s="3" t="n">
        <f aca="false">SUMIF(Employee!$G$2:$G$10,A13,Employee!$D$2:$D$10)</f>
        <v>35000</v>
      </c>
      <c r="D13" s="3" t="n">
        <f aca="false">IFERROR(AVERAGEIF(Employee!$G$2:$G$10,A13,Employee!$D$2:$D$10),0)</f>
        <v>35000</v>
      </c>
    </row>
    <row r="16" customFormat="false" ht="15" hidden="false" customHeight="false" outlineLevel="0" collapsed="false">
      <c r="A16" s="5" t="s">
        <v>68</v>
      </c>
    </row>
    <row r="17" customFormat="false" ht="15" hidden="false" customHeight="false" outlineLevel="0" collapsed="false">
      <c r="A17" s="1" t="s">
        <v>69</v>
      </c>
      <c r="B17" s="1" t="s">
        <v>70</v>
      </c>
      <c r="C17" s="1" t="s">
        <v>71</v>
      </c>
      <c r="D17" s="1" t="s">
        <v>72</v>
      </c>
    </row>
    <row r="18" customFormat="false" ht="15" hidden="false" customHeight="false" outlineLevel="0" collapsed="false">
      <c r="A18" s="2" t="s">
        <v>52</v>
      </c>
      <c r="B18" s="7" t="n">
        <f aca="false">SUMIF(Horas_Projeto!$B$2:$B$18,A18,Horas_Projeto!$D$2:$D$18)</f>
        <v>52.5</v>
      </c>
      <c r="C18" s="2" t="n">
        <f aca="false">COUNTIF(Horas_Projeto!$B$2:$B$18,A18)</f>
        <v>2</v>
      </c>
      <c r="D18" s="2" t="n">
        <f aca="false">SUMPRODUCT((Horas_Projeto!$B$2:$B$18=A18)*(Horas_Projeto!$D$2:$D$18=""))</f>
        <v>0</v>
      </c>
    </row>
    <row r="19" customFormat="false" ht="15" hidden="false" customHeight="false" outlineLevel="0" collapsed="false">
      <c r="A19" s="2" t="s">
        <v>53</v>
      </c>
      <c r="B19" s="7" t="n">
        <f aca="false">SUMIF(Horas_Projeto!$B$2:$B$18,A19,Horas_Projeto!$D$2:$D$18)</f>
        <v>37.5</v>
      </c>
      <c r="C19" s="2" t="n">
        <f aca="false">COUNTIF(Horas_Projeto!$B$2:$B$18,A19)</f>
        <v>3</v>
      </c>
      <c r="D19" s="2" t="n">
        <f aca="false">SUMPRODUCT((Horas_Projeto!$B$2:$B$18=A19)*(Horas_Projeto!$D$2:$D$18=""))</f>
        <v>0</v>
      </c>
    </row>
    <row r="20" customFormat="false" ht="15" hidden="false" customHeight="false" outlineLevel="0" collapsed="false">
      <c r="A20" s="2" t="s">
        <v>54</v>
      </c>
      <c r="B20" s="7" t="n">
        <f aca="false">SUMIF(Horas_Projeto!$B$2:$B$18,A20,Horas_Projeto!$D$2:$D$18)</f>
        <v>50</v>
      </c>
      <c r="C20" s="2" t="n">
        <f aca="false">COUNTIF(Horas_Projeto!$B$2:$B$18,A20)</f>
        <v>2</v>
      </c>
      <c r="D20" s="2" t="n">
        <f aca="false">SUMPRODUCT((Horas_Projeto!$B$2:$B$18=A20)*(Horas_Projeto!$D$2:$D$18=""))</f>
        <v>0</v>
      </c>
    </row>
    <row r="21" customFormat="false" ht="15" hidden="false" customHeight="false" outlineLevel="0" collapsed="false">
      <c r="A21" s="2" t="s">
        <v>55</v>
      </c>
      <c r="B21" s="7" t="n">
        <f aca="false">SUMIF(Horas_Projeto!$B$2:$B$18,A21,Horas_Projeto!$D$2:$D$18)</f>
        <v>55</v>
      </c>
      <c r="C21" s="2" t="n">
        <f aca="false">COUNTIF(Horas_Projeto!$B$2:$B$18,A21)</f>
        <v>3</v>
      </c>
      <c r="D21" s="2" t="n">
        <f aca="false">SUMPRODUCT((Horas_Projeto!$B$2:$B$18=A21)*(Horas_Projeto!$D$2:$D$18=""))</f>
        <v>0</v>
      </c>
    </row>
    <row r="22" customFormat="false" ht="15" hidden="false" customHeight="false" outlineLevel="0" collapsed="false">
      <c r="A22" s="2" t="s">
        <v>56</v>
      </c>
      <c r="B22" s="7" t="n">
        <f aca="false">SUMIF(Horas_Projeto!$B$2:$B$18,A22,Horas_Projeto!$D$2:$D$18)</f>
        <v>25</v>
      </c>
      <c r="C22" s="2" t="n">
        <f aca="false">COUNTIF(Horas_Projeto!$B$2:$B$18,A22)</f>
        <v>3</v>
      </c>
      <c r="D22" s="2" t="n">
        <f aca="false">SUMPRODUCT((Horas_Projeto!$B$2:$B$18=A22)*(Horas_Projeto!$D$2:$D$18=""))</f>
        <v>1</v>
      </c>
    </row>
    <row r="23" customFormat="false" ht="15" hidden="false" customHeight="false" outlineLevel="0" collapsed="false">
      <c r="A23" s="2" t="s">
        <v>57</v>
      </c>
      <c r="B23" s="7" t="n">
        <f aca="false">SUMIF(Horas_Projeto!$B$2:$B$18,A23,Horas_Projeto!$D$2:$D$18)</f>
        <v>55</v>
      </c>
      <c r="C23" s="2" t="n">
        <f aca="false">COUNTIF(Horas_Projeto!$B$2:$B$18,A23)</f>
        <v>3</v>
      </c>
      <c r="D23" s="2" t="n">
        <f aca="false">SUMPRODUCT((Horas_Projeto!$B$2:$B$18=A23)*(Horas_Projeto!$D$2:$D$18=""))</f>
        <v>0</v>
      </c>
    </row>
    <row r="24" customFormat="false" ht="15" hidden="false" customHeight="false" outlineLevel="0" collapsed="false">
      <c r="A24" s="2" t="s">
        <v>58</v>
      </c>
      <c r="B24" s="7" t="n">
        <f aca="false">SUMIF(Horas_Projeto!$B$2:$B$18,A24,Horas_Projeto!$D$2:$D$18)</f>
        <v>0</v>
      </c>
      <c r="C24" s="2" t="n">
        <f aca="false">COUNTIF(Horas_Projeto!$B$2:$B$18,A24)</f>
        <v>1</v>
      </c>
      <c r="D24" s="2" t="n">
        <f aca="false">SUMPRODUCT((Horas_Projeto!$B$2:$B$18=A24)*(Horas_Projeto!$D$2:$D$18=""))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8" t="s">
        <v>73</v>
      </c>
    </row>
    <row r="2" customFormat="false" ht="23.85" hidden="false" customHeight="false" outlineLevel="0" collapsed="false">
      <c r="A2" s="9" t="s">
        <v>74</v>
      </c>
    </row>
    <row r="3" customFormat="false" ht="23.85" hidden="false" customHeight="false" outlineLevel="0" collapsed="false">
      <c r="A3" s="9" t="s">
        <v>75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8" t="s">
        <v>76</v>
      </c>
    </row>
    <row r="6" customFormat="false" ht="23.85" hidden="false" customHeight="false" outlineLevel="0" collapsed="false">
      <c r="A6" s="9" t="s">
        <v>77</v>
      </c>
    </row>
    <row r="7" customFormat="false" ht="15" hidden="false" customHeight="false" outlineLevel="0" collapsed="false">
      <c r="A7" s="9" t="s">
        <v>78</v>
      </c>
    </row>
    <row r="8" customFormat="false" ht="23.85" hidden="false" customHeight="false" outlineLevel="0" collapsed="false">
      <c r="A8" s="9" t="s">
        <v>79</v>
      </c>
    </row>
    <row r="9" customFormat="false" ht="15" hidden="false" customHeight="false" outlineLevel="0" collapsed="false">
      <c r="A9" s="9" t="s">
        <v>80</v>
      </c>
    </row>
    <row r="10" customFormat="false" ht="15" hidden="false" customHeight="false" outlineLevel="0" collapsed="false">
      <c r="A10" s="9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2026-09-21T15:28:58Z</dcterms:created>
  <dc:creator>openpyxl</dc:creator>
  <dc:description/>
  <dc:language>en-US</dc:language>
  <cp:lastModifiedBy/>
  <dcterms:modified xsi:type="dcterms:W3CDTF">2026-09-21T15:28:58Z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